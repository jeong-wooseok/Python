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<sst xmlns="http://schemas.openxmlformats.org/spreadsheetml/2006/main" count="44" uniqueCount="25">
  <si>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keyword</t>
  </si>
  <si>
    <t>title</t>
  </si>
  <si>
    <t>date</t>
  </si>
  <si>
    <t>link</t>
  </si>
  <si>
    <t>핀테크</t>
  </si>
  <si>
    <t>가계대출 급증에 핀테크 대출관리 앱 '인기' - IT조선</t>
  </si>
  <si>
    <t>빅테크와 손잡은 카드업계...적과의 동침? - 뉴시스</t>
  </si>
  <si>
    <t>네이버·카카오·토스·뱅샐까지… 카드사, 핀테크와 합종연횡 - 머니S - Money S</t>
  </si>
  <si>
    <t>JP "코로나19로 핀테크·암호화폐 주류로 자리잡아" - 글로벌이코노믹</t>
  </si>
  <si>
    <t>'카드계 클럽하우스' 차이…초대장 받아야 혜택 줘요 - 한국경제</t>
  </si>
  <si>
    <t>자동차 핀 테크 시장 2021 신흥 기술은 내년에 발전합니다 – pptoday - 검찰투데이</t>
  </si>
  <si>
    <t>핀테크 관련주 핑거·다날 상승...유니셈·NAVER 하락 - 농업경제신문</t>
  </si>
  <si>
    <t>콘텐츠 기업 변신한 소니↑… 제조업 마인드 못버린 파나소닉↓ - 한국경제</t>
  </si>
  <si>
    <t>[Deep&amp;Wide]이주열 "빅브라더법" 은성수 "화가난다"···전금법이 뭐길래 - 중앙일보 - 중앙일보</t>
  </si>
  <si>
    <t>[Deep&amp;Wide]‘밥그릇 싸움’ 아니라는데…금융위와 한은 맞붙은 전금법은 - 중앙일보 - 중앙일보</t>
  </si>
  <si>
    <t>전남일보 - 전남일보</t>
  </si>
  <si>
    <t>[금융캐스터] 은행권, 올해 상반기 채용시장 전망은 밝을까 - 시사오늘</t>
  </si>
  <si>
    <t>라인·야후 통합 Z홀딩스 "글로벌 AI 대표 기업 되겠다" - ZD넷 코리아</t>
  </si>
  <si>
    <t>윤종규 디지털 전략 ‘자체 플랫폼’으로 승부수 - 한국금융신문</t>
  </si>
  <si>
    <t>'1000원 펀드', 애플 주식 1000원어치…주머니 얇은 '주린이'도 투자한다 - 중앙일보 - 중앙일보</t>
  </si>
  <si>
    <t>네이버, 첫 외화채권 발행 착수…'5억弗 실탄' 장전 - 한국경제</t>
  </si>
  <si>
    <t>'캐시의 마법' 풀렸나…아크 ETF 한달새 24% 급락 - 한국경제</t>
  </si>
  <si>
    <t>[민후의 기·꼭·법]신종범죄 '페이깡'도 처벌 대상이 될까? - 이데일리</t>
  </si>
  <si>
    <t>[김진혁의 돈으로부터의 자유] 3월 7일 무엇이든 플러스 발상을 하는 습관 가진 사람 - 파이낸셜리뷰</t>
  </si>
  <si>
    <t>은행 '반짝'성장 코로나 정책효과…"위기관리 대응나서야" - 미디어펜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</si>
</sst>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44260.875</v>
      </c>
      <c r="D2">
        <f>HYPERLINK("=HYPERLINK("=HYPERLINK("http://it.chosun.com/site/data/html_dir/2021/03/05/2021030502785.html", "http://it.chosun.com/site/data/html_dir/2021/03/05/2021030502785.html")", "=HYPERLINK("http://it.chosun.com/site/data/html_dir/2021/03/05/2021030502785.html", "http://it.chosun.com/site/data/html_dir/2021/03/05/2021030502785.html")")", "=HYPERLINK("=HYPERLINK("http://it.chosun.com/site/data/html_dir/2021/03/05/2021030502785.html", "http://it.chosun.com/site/data/html_dir/2021/03/05/2021030502785.html")", "=HYPERLINK("http://it.chosun.com/site/data/html_dir/2021/03/05/2021030502785.html", "http://it.chosun.com/site/data/html_dir/2021/03/05/2021030502785.html")")")</f>
        <v>0</v>
      </c>
    </row>
    <row r="3" spans="1:4">
      <c r="A3" t="s">
        <v>4</v>
      </c>
      <c r="B3" t="s">
        <v>6</v>
      </c>
      <c r="C3" s="2">
        <v>44261.83333333334</v>
      </c>
      <c r="D3">
        <f>HYPERLINK("=HYPERLINK("=HYPERLINK("https://newsis.com/view?id=NISX20210305_0001360980", "https://newsis.com/view?id=NISX20210305_0001360980")", "=HYPERLINK("https://newsis.com/view?id=NISX20210305_0001360980", "https://newsis.com/view?id=NISX20210305_0001360980")")", "=HYPERLINK("=HYPERLINK("https://newsis.com/view?id=NISX20210305_0001360980", "https://newsis.com/view?id=NISX20210305_0001360980")", "=HYPERLINK("https://newsis.com/view?id=NISX20210305_0001360980", "https://newsis.com/view?id=NISX20210305_0001360980")")")</f>
        <v>0</v>
      </c>
    </row>
    <row r="4" spans="1:4">
      <c r="A4" t="s">
        <v>4</v>
      </c>
      <c r="B4" t="s">
        <v>7</v>
      </c>
      <c r="C4" s="2">
        <v>44260.85</v>
      </c>
      <c r="D4">
        <f>HYPERLINK("=HYPERLINK("=HYPERLINK("https://m.moneys.mt.co.kr/article.html?no=2021030515498030718&amp;MVRNFI", "https://m.moneys.mt.co.kr/article.html?no=2021030515498030718&amp;MVRNFI")", "=HYPERLINK("https://m.moneys.mt.co.kr/article.html?no=2021030515498030718&amp;MVRNFI", "https://m.moneys.mt.co.kr/article.html?no=2021030515498030718&amp;MVRNFI")")", "=HYPERLINK("=HYPERLINK("https://m.moneys.mt.co.kr/article.html?no=2021030515498030718&amp;MVRNFI", "https://m.moneys.mt.co.kr/article.html?no=2021030515498030718&amp;MVRNFI")", "=HYPERLINK("https://m.moneys.mt.co.kr/article.html?no=2021030515498030718&amp;MVRNFI", "https://m.moneys.mt.co.kr/article.html?no=2021030515498030718&amp;MVRNFI")")")</f>
        <v>0</v>
      </c>
    </row>
    <row r="5" spans="1:4">
      <c r="A5" t="s">
        <v>4</v>
      </c>
      <c r="B5" t="s">
        <v>8</v>
      </c>
      <c r="C5" s="2">
        <v>44260.85960648148</v>
      </c>
      <c r="D5">
        <f>HYPERLINK("=HYPERLINK("=HYPERLINK("https://www.g-enews.com/view.php?ud=202103060002086847b8488d322b_1&amp;ssk=pcmain_0_1", "https://www.g-enews.com/view.php?ud=202103060002086847b8488d322b_1&amp;ssk=pcmain_0_1")", "=HYPERLINK("https://www.g-enews.com/view.php?ud=202103060002086847b8488d322b_1&amp;ssk=pcmain_0_1", "https://www.g-enews.com/view.php?ud=202103060002086847b8488d322b_1&amp;ssk=pcmain_0_1")")", "=HYPERLINK("=HYPERLINK("https://www.g-enews.com/view.php?ud=202103060002086847b8488d322b_1&amp;ssk=pcmain_0_1", "https://www.g-enews.com/view.php?ud=202103060002086847b8488d322b_1&amp;ssk=pcmain_0_1")", "=HYPERLINK("https://www.g-enews.com/view.php?ud=202103060002086847b8488d322b_1&amp;ssk=pcmain_0_1", "https://www.g-enews.com/view.php?ud=202103060002086847b8488d322b_1&amp;ssk=pcmain_0_1")")")</f>
        <v>0</v>
      </c>
    </row>
    <row r="6" spans="1:4">
      <c r="A6" t="s">
        <v>4</v>
      </c>
      <c r="B6" t="s">
        <v>9</v>
      </c>
      <c r="C6" s="2">
        <v>44262.34244212963</v>
      </c>
      <c r="D6">
        <f>HYPERLINK("=HYPERLINK("=HYPERLINK("https://www.hankyung.com/economy/article/2021030708801", "https://www.hankyung.com/economy/article/2021030708801")", "=HYPERLINK("https://www.hankyung.com/economy/article/2021030708801", "https://www.hankyung.com/economy/article/2021030708801")")", "=HYPERLINK("=HYPERLINK("https://www.hankyung.com/economy/article/2021030708801", "https://www.hankyung.com/economy/article/2021030708801")", "=HYPERLINK("https://www.hankyung.com/economy/article/2021030708801", "https://www.hankyung.com/economy/article/2021030708801")")")</f>
        <v>0</v>
      </c>
    </row>
    <row r="7" spans="1:4">
      <c r="A7" t="s">
        <v>4</v>
      </c>
      <c r="B7" t="s">
        <v>10</v>
      </c>
      <c r="C7" s="2">
        <v>44261.19453703704</v>
      </c>
      <c r="D7">
        <f>HYPERLINK("=HYPERLINK("=HYPERLINK("http://www.pptoday.co.kr/2021/03/06/%EC%9E%90%EB%8F%99%EC%B0%A8-%ED%95%80-%ED%85%8C%ED%81%AC-%EC%8B%9C%EC%9E%A5-2021-%EC%8B%A0%ED%9D%A5-%EA%B8%B0%EC%88%A0%EC%9D%80-%EB%82%B4%EB%85%84%EC%97%90-%EB%B0%9C%EC%A0%84%ED%95%A9%EB%8B%88/", "http://www.pptoday.co.kr/2021/03/06/%EC%9E%90%EB%8F%99%EC%B0%A8-%ED%95%80-%ED%85%8C%ED%81%AC-%EC%8B%9C%EC%9E%A5-2021-%EC%8B%A0%ED%9D%A5-%EA%B8%B0%EC%88%A0%EC%9D%80-%EB%82%B4%EB%85%84%EC%97%90-%EB%B0%9C%EC%A0%84%ED%95%A9%EB%8B%88/")", "=HYPERLINK("http://www.pptoday.co.kr/2021/03/06/%EC%9E%90%EB%8F%99%EC%B0%A8-%ED%95%80-%ED%85%8C%ED%81%AC-%EC%8B%9C%EC%9E%A5-2021-%EC%8B%A0%ED%9D%A5-%EA%B8%B0%EC%88%A0%EC%9D%80-%EB%82%B4%EB%85%84%EC%97%90-%EB%B0%9C%EC%A0%84%ED%95%A9%EB%8B%88/", "http://www.pptoday.co.kr/2021/03/06/%EC%9E%90%EB%8F%99%EC%B0%A8-%ED%95%80-%ED%85%8C%ED%81%AC-%EC%8B%9C%EC%9E%A5-2021-%EC%8B%A0%ED%9D%A5-%EA%B8%B0%EC%88%A0%EC%9D%80-%EB%82%B4%EB%85%84%EC%97%90-%EB%B0%9C%EC%A0%84%ED%95%A9%EB%8B%88/")")", "=HYPERLINK("=HYPERLINK("http://www.pptoday.co.kr/2021/03/06/%EC%9E%90%EB%8F%99%EC%B0%A8-%ED%95%80-%ED%85%8C%ED%81%AC-%EC%8B%9C%EC%9E%A5-2021-%EC%8B%A0%ED%9D%A5-%EA%B8%B0%EC%88%A0%EC%9D%80-%EB%82%B4%EB%85%84%EC%97%90-%EB%B0%9C%EC%A0%84%ED%95%A9%EB%8B%88/", "http://www.pptoday.co.kr/2021/03/06/%EC%9E%90%EB%8F%99%EC%B0%A8-%ED%95%80-%ED%85%8C%ED%81%AC-%EC%8B%9C%EC%9E%A5-2021-%EC%8B%A0%ED%9D%A5-%EA%B8%B0%EC%88%A0%EC%9D%80-%EB%82%B4%EB%85%84%EC%97%90-%EB%B0%9C%EC%A0%84%ED%95%A9%EB%8B%88/")", "=HYPERLINK("http://www.pptoday.co.kr/2021/03/06/%EC%9E%90%EB%8F%99%EC%B0%A8-%ED%95%80-%ED%85%8C%ED%81%AC-%EC%8B%9C%EC%9E%A5-2021-%EC%8B%A0%ED%9D%A5-%EA%B8%B0%EC%88%A0%EC%9D%80-%EB%82%B4%EB%85%84%EC%97%90-%EB%B0%9C%EC%A0%84%ED%95%A9%EB%8B%88/", "http://www.pptoday.co.kr/2021/03/06/%EC%9E%90%EB%8F%99%EC%B0%A8-%ED%95%80-%ED%85%8C%ED%81%AC-%EC%8B%9C%EC%9E%A5-2021-%EC%8B%A0%ED%9D%A5-%EA%B8%B0%EC%88%A0%EC%9D%80-%EB%82%B4%EB%85%84%EC%97%90-%EB%B0%9C%EC%A0%84%ED%95%A9%EB%8B%88/")")")</f>
        <v>0</v>
      </c>
    </row>
    <row r="8" spans="1:4">
      <c r="A8" t="s">
        <v>4</v>
      </c>
      <c r="B8" t="s">
        <v>11</v>
      </c>
      <c r="C8" s="2">
        <v>44261.44674768519</v>
      </c>
      <c r="D8">
        <f>HYPERLINK("=HYPERLINK("=HYPERLINK("https://www.thekpm.com/view.php?ud=2021030619404084637addc4692d_17", "https://www.thekpm.com/view.php?ud=2021030619404084637addc4692d_17")", "=HYPERLINK("https://www.thekpm.com/view.php?ud=2021030619404084637addc4692d_17", "https://www.thekpm.com/view.php?ud=2021030619404084637addc4692d_17")")", "=HYPERLINK("=HYPERLINK("https://www.thekpm.com/view.php?ud=2021030619404084637addc4692d_17", "https://www.thekpm.com/view.php?ud=2021030619404084637addc4692d_17")", "=HYPERLINK("https://www.thekpm.com/view.php?ud=2021030619404084637addc4692d_17", "https://www.thekpm.com/view.php?ud=2021030619404084637addc4692d_17")")")</f>
        <v>0</v>
      </c>
    </row>
    <row r="9" spans="1:4">
      <c r="A9" t="s">
        <v>4</v>
      </c>
      <c r="B9" t="s">
        <v>12</v>
      </c>
      <c r="C9" s="2">
        <v>44262.35206018519</v>
      </c>
      <c r="D9">
        <f>HYPERLINK("=HYPERLINK("=HYPERLINK("https://www.hankyung.com/international/article/2021030710581", "https://www.hankyung.com/international/article/2021030710581")", "=HYPERLINK("https://www.hankyung.com/international/article/2021030710581", "https://www.hankyung.com/international/article/2021030710581")")", "=HYPERLINK("=HYPERLINK("https://www.hankyung.com/international/article/2021030710581", "https://www.hankyung.com/international/article/2021030710581")", "=HYPERLINK("https://www.hankyung.com/international/article/2021030710581", "https://www.hankyung.com/international/article/2021030710581")")")</f>
        <v>0</v>
      </c>
    </row>
    <row r="10" spans="1:4">
      <c r="A10" t="s">
        <v>4</v>
      </c>
      <c r="B10" t="s">
        <v>13</v>
      </c>
      <c r="C10" s="2">
        <v>44262.00002314815</v>
      </c>
      <c r="D10">
        <f>HYPERLINK("=HYPERLINK("=HYPERLINK("https://news.joins.com/article/24006198", "https://news.joins.com/article/24006198")", "=HYPERLINK("https://news.joins.com/article/24006198", "https://news.joins.com/article/24006198")")", "=HYPERLINK("=HYPERLINK("https://news.joins.com/article/24006198", "https://news.joins.com/article/24006198")", "=HYPERLINK("https://news.joins.com/article/24006198", "https://news.joins.com/article/24006198")")")</f>
        <v>0</v>
      </c>
    </row>
    <row r="11" spans="1:4">
      <c r="A11" t="s">
        <v>4</v>
      </c>
      <c r="B11" t="s">
        <v>14</v>
      </c>
      <c r="C11" s="2">
        <v>44262.00002314815</v>
      </c>
      <c r="D11">
        <f>HYPERLINK("=HYPERLINK("=HYPERLINK("https://news.joins.com/article/24006198?cloc=rss-news-total_list", "https://news.joins.com/article/24006198?cloc=rss-news-total_list")", "=HYPERLINK("https://news.joins.com/article/24006198?cloc=rss-news-total_list", "https://news.joins.com/article/24006198?cloc=rss-news-total_list")")", "=HYPERLINK("=HYPERLINK("https://news.joins.com/article/24006198?cloc=rss-news-total_list", "https://news.joins.com/article/24006198?cloc=rss-news-total_list")", "=HYPERLINK("https://news.joins.com/article/24006198?cloc=rss-news-total_list", "https://news.joins.com/article/24006198?cloc=rss-news-total_list")")")</f>
        <v>0</v>
      </c>
    </row>
    <row r="12" spans="1:4">
      <c r="A12" t="s">
        <v>4</v>
      </c>
      <c r="B12" t="s">
        <v>15</v>
      </c>
      <c r="C12" s="2">
        <v>44262.19402777778</v>
      </c>
      <c r="D12">
        <f>HYPERLINK("=HYPERLINK("=HYPERLINK("https://www.jnilbo.com/view/media/view?code=2021021616512561059", "https://www.jnilbo.com/view/media/view?code=2021021616512561059")", "=HYPERLINK("https://www.jnilbo.com/view/media/view?code=2021021616512561059", "https://www.jnilbo.com/view/media/view?code=2021021616512561059")")", "=HYPERLINK("=HYPERLINK("https://www.jnilbo.com/view/media/view?code=2021021616512561059", "https://www.jnilbo.com/view/media/view?code=2021021616512561059")", "=HYPERLINK("https://www.jnilbo.com/view/media/view?code=2021021616512561059", "https://www.jnilbo.com/view/media/view?code=2021021616512561059")")")</f>
        <v>0</v>
      </c>
    </row>
    <row r="13" spans="1:4">
      <c r="A13" t="s">
        <v>4</v>
      </c>
      <c r="B13" t="s">
        <v>16</v>
      </c>
      <c r="C13" s="2">
        <v>44262</v>
      </c>
      <c r="D13">
        <f>HYPERLINK("=HYPERLINK("=HYPERLINK("https://www.sisaon.co.kr/news/articleView.html?idxno=124769", "https://www.sisaon.co.kr/news/articleView.html?idxno=124769")", "=HYPERLINK("https://www.sisaon.co.kr/news/articleView.html?idxno=124769", "https://www.sisaon.co.kr/news/articleView.html?idxno=124769")")", "=HYPERLINK("=HYPERLINK("https://www.sisaon.co.kr/news/articleView.html?idxno=124769", "https://www.sisaon.co.kr/news/articleView.html?idxno=124769")", "=HYPERLINK("https://www.sisaon.co.kr/news/articleView.html?idxno=124769", "https://www.sisaon.co.kr/news/articleView.html?idxno=124769")")")</f>
        <v>0</v>
      </c>
    </row>
    <row r="14" spans="1:4">
      <c r="A14" t="s">
        <v>4</v>
      </c>
      <c r="B14" t="s">
        <v>17</v>
      </c>
      <c r="C14" s="2">
        <v>44262.11736111111</v>
      </c>
      <c r="D14">
        <f>HYPERLINK("=HYPERLINK("=HYPERLINK("https://zdnet.co.kr/view/?no=20210307111023", "https://zdnet.co.kr/view/?no=20210307111023")", "=HYPERLINK("https://zdnet.co.kr/view/?no=20210307111023", "https://zdnet.co.kr/view/?no=20210307111023")")", "=HYPERLINK("=HYPERLINK("https://zdnet.co.kr/view/?no=20210307111023", "https://zdnet.co.kr/view/?no=20210307111023")", "=HYPERLINK("https://zdnet.co.kr/view/?no=20210307111023", "https://zdnet.co.kr/view/?no=20210307111023")")")</f>
        <v>0</v>
      </c>
    </row>
    <row r="15" spans="1:4">
      <c r="A15" t="s">
        <v>4</v>
      </c>
      <c r="B15" t="s">
        <v>18</v>
      </c>
      <c r="C15" s="2">
        <v>44260.875</v>
      </c>
      <c r="D15">
        <f>HYPERLINK("=HYPERLINK("=HYPERLINK("https://www.fntimes.com/view.php?ud=202103051225191552f09e13944d_18", "https://www.fntimes.com/view.php?ud=202103051225191552f09e13944d_18")", "=HYPERLINK("https://www.fntimes.com/view.php?ud=202103051225191552f09e13944d_18", "https://www.fntimes.com/view.php?ud=202103051225191552f09e13944d_18")")", "=HYPERLINK("=HYPERLINK("https://www.fntimes.com/view.php?ud=202103051225191552f09e13944d_18", "https://www.fntimes.com/view.php?ud=202103051225191552f09e13944d_18")", "=HYPERLINK("https://www.fntimes.com/view.php?ud=202103051225191552f09e13944d_18", "https://www.fntimes.com/view.php?ud=202103051225191552f09e13944d_18")")")</f>
        <v>0</v>
      </c>
    </row>
    <row r="16" spans="1:4">
      <c r="A16" t="s">
        <v>4</v>
      </c>
      <c r="B16" t="s">
        <v>19</v>
      </c>
      <c r="C16" s="2">
        <v>44261.95833333334</v>
      </c>
      <c r="D16">
        <f>HYPERLINK("=HYPERLINK("=HYPERLINK("https://news.joins.com/article/24006173", "https://news.joins.com/article/24006173")", "=HYPERLINK("https://news.joins.com/article/24006173", "https://news.joins.com/article/24006173")")", "=HYPERLINK("=HYPERLINK("https://news.joins.com/article/24006173", "https://news.joins.com/article/24006173")", "=HYPERLINK("https://news.joins.com/article/24006173", "https://news.joins.com/article/24006173")")")</f>
        <v>0</v>
      </c>
    </row>
    <row r="17" spans="1:4">
      <c r="A17" t="s">
        <v>4</v>
      </c>
      <c r="B17" t="s">
        <v>20</v>
      </c>
      <c r="C17" s="2">
        <v>44262.34296296296</v>
      </c>
      <c r="D17">
        <f>HYPERLINK("=HYPERLINK("=HYPERLINK("https://www.hankyung.com/finance/article/2021030709401", "https://www.hankyung.com/finance/article/2021030709401")", "=HYPERLINK("https://www.hankyung.com/finance/article/2021030709401", "https://www.hankyung.com/finance/article/2021030709401")")", "=HYPERLINK("=HYPERLINK("https://www.hankyung.com/finance/article/2021030709401", "https://www.hankyung.com/finance/article/2021030709401")", "=HYPERLINK("https://www.hankyung.com/finance/article/2021030709401", "https://www.hankyung.com/finance/article/2021030709401")")")</f>
        <v>0</v>
      </c>
    </row>
    <row r="18" spans="1:4">
      <c r="A18" t="s">
        <v>4</v>
      </c>
      <c r="B18" t="s">
        <v>21</v>
      </c>
      <c r="C18" s="2">
        <v>44262.34340277778</v>
      </c>
      <c r="D18">
        <f>HYPERLINK("=HYPERLINK("=HYPERLINK("https://www.hankyung.com/finance/article/2021030709031", "https://www.hankyung.com/finance/article/2021030709031")", "=HYPERLINK("https://www.hankyung.com/finance/article/2021030709031", "https://www.hankyung.com/finance/article/2021030709031")")", "=HYPERLINK("=HYPERLINK("https://www.hankyung.com/finance/article/2021030709031", "https://www.hankyung.com/finance/article/2021030709031")", "=HYPERLINK("https://www.hankyung.com/finance/article/2021030709031", "https://www.hankyung.com/finance/article/2021030709031")")")</f>
        <v>0</v>
      </c>
    </row>
    <row r="19" spans="1:4">
      <c r="A19" t="s">
        <v>4</v>
      </c>
      <c r="B19" t="s">
        <v>22</v>
      </c>
      <c r="C19" s="2">
        <v>44262.02083333334</v>
      </c>
      <c r="D19">
        <f>HYPERLINK("=HYPERLINK("=HYPERLINK("https://www.edaily.co.kr/news/read?newsId=01266086628981024&amp;mediaCodeNo=257", "https://www.edaily.co.kr/news/read?newsId=01266086628981024&amp;mediaCodeNo=257")", "=HYPERLINK("https://www.edaily.co.kr/news/read?newsId=01266086628981024&amp;mediaCodeNo=257", "https://www.edaily.co.kr/news/read?newsId=01266086628981024&amp;mediaCodeNo=257")")", "=HYPERLINK("=HYPERLINK("https://www.edaily.co.kr/news/read?newsId=01266086628981024&amp;mediaCodeNo=257", "https://www.edaily.co.kr/news/read?newsId=01266086628981024&amp;mediaCodeNo=257")", "=HYPERLINK("https://www.edaily.co.kr/news/read?newsId=01266086628981024&amp;mediaCodeNo=257", "https://www.edaily.co.kr/news/read?newsId=01266086628981024&amp;mediaCodeNo=257")")")</f>
        <v>0</v>
      </c>
    </row>
    <row r="20" spans="1:4">
      <c r="A20" t="s">
        <v>4</v>
      </c>
      <c r="B20" t="s">
        <v>23</v>
      </c>
      <c r="C20" s="2">
        <v>44261.625</v>
      </c>
      <c r="D20">
        <f>HYPERLINK("=HYPERLINK("=HYPERLINK("http://www.financialreview.co.kr/news/articleView.html?idxno=19997", "http://www.financialreview.co.kr/news/articleView.html?idxno=19997")", "=HYPERLINK("http://www.financialreview.co.kr/news/articleView.html?idxno=19997", "http://www.financialreview.co.kr/news/articleView.html?idxno=19997")")", "=HYPERLINK("=HYPERLINK("http://www.financialreview.co.kr/news/articleView.html?idxno=19997", "http://www.financialreview.co.kr/news/articleView.html?idxno=19997")", "=HYPERLINK("http://www.financialreview.co.kr/news/articleView.html?idxno=19997", "http://www.financialreview.co.kr/news/articleView.html?idxno=19997")")")</f>
        <v>0</v>
      </c>
    </row>
    <row r="21" spans="1:4">
      <c r="A21" t="s">
        <v>4</v>
      </c>
      <c r="B21" t="s">
        <v>24</v>
      </c>
      <c r="C21" s="2">
        <v>44262.01335648148</v>
      </c>
      <c r="D21">
        <f>HYPERLINK("=HYPERLINK("=HYPERLINK("http://www.mediapen.com/news/view/607060", "http://www.mediapen.com/news/view/607060")", "=HYPERLINK("http://www.mediapen.com/news/view/607060", "http://www.mediapen.com/news/view/607060")")", "=HYPERLINK("=HYPERLINK("http://www.mediapen.com/news/view/607060", "http://www.mediapen.com/news/view/607060")", "=HYPERLINK("http://www.mediapen.com/news/view/607060", "http://www.mediapen.com/news/view/607060")")")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2021-03-07T10:17:43Z</dcterms:created>
  <dcterms:modified xsi:type="dcterms:W3CDTF">2021-03-07T10:17:43Z</dcterms:modified>
</cp:coreProperties>
</file>